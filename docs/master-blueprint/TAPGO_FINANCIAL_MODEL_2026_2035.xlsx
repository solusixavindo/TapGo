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structions" sheetId="2" state="visible" r:id="rId2"/>
    <sheet xmlns:r="http://schemas.openxmlformats.org/officeDocument/2006/relationships" name="Assumptions" sheetId="3" state="visible" r:id="rId3"/>
    <sheet xmlns:r="http://schemas.openxmlformats.org/officeDocument/2006/relationships" name="Scenario Selector" sheetId="4" state="visible" r:id="rId4"/>
    <sheet xmlns:r="http://schemas.openxmlformats.org/officeDocument/2006/relationships" name="Membership Economics" sheetId="5" state="visible" r:id="rId5"/>
    <sheet xmlns:r="http://schemas.openxmlformats.org/officeDocument/2006/relationships" name="Bonus Liability" sheetId="6" state="visible" r:id="rId6"/>
    <sheet xmlns:r="http://schemas.openxmlformats.org/officeDocument/2006/relationships" name="User Growth" sheetId="7" state="visible" r:id="rId7"/>
    <sheet xmlns:r="http://schemas.openxmlformats.org/officeDocument/2006/relationships" name="Merchant Growth" sheetId="8" state="visible" r:id="rId8"/>
    <sheet xmlns:r="http://schemas.openxmlformats.org/officeDocument/2006/relationships" name="Revenue Build" sheetId="9" state="visible" r:id="rId9"/>
    <sheet xmlns:r="http://schemas.openxmlformats.org/officeDocument/2006/relationships" name="Variable Cost" sheetId="10" state="visible" r:id="rId10"/>
    <sheet xmlns:r="http://schemas.openxmlformats.org/officeDocument/2006/relationships" name="Fixed Cost" sheetId="11" state="visible" r:id="rId11"/>
    <sheet xmlns:r="http://schemas.openxmlformats.org/officeDocument/2006/relationships" name="Headcount" sheetId="12" state="visible" r:id="rId12"/>
    <sheet xmlns:r="http://schemas.openxmlformats.org/officeDocument/2006/relationships" name="Capex" sheetId="13" state="visible" r:id="rId13"/>
    <sheet xmlns:r="http://schemas.openxmlformats.org/officeDocument/2006/relationships" name="P&amp;L Monthly" sheetId="14" state="visible" r:id="rId14"/>
    <sheet xmlns:r="http://schemas.openxmlformats.org/officeDocument/2006/relationships" name="P&amp;L Annual" sheetId="15" state="visible" r:id="rId15"/>
    <sheet xmlns:r="http://schemas.openxmlformats.org/officeDocument/2006/relationships" name="Balance Sheet" sheetId="16" state="visible" r:id="rId16"/>
    <sheet xmlns:r="http://schemas.openxmlformats.org/officeDocument/2006/relationships" name="Cash Flow" sheetId="17" state="visible" r:id="rId17"/>
    <sheet xmlns:r="http://schemas.openxmlformats.org/officeDocument/2006/relationships" name="Working Capital" sheetId="18" state="visible" r:id="rId18"/>
    <sheet xmlns:r="http://schemas.openxmlformats.org/officeDocument/2006/relationships" name="Break-Even" sheetId="19" state="visible" r:id="rId19"/>
    <sheet xmlns:r="http://schemas.openxmlformats.org/officeDocument/2006/relationships" name="Unit Economics" sheetId="20" state="visible" r:id="rId20"/>
    <sheet xmlns:r="http://schemas.openxmlformats.org/officeDocument/2006/relationships" name="Funding" sheetId="21" state="visible" r:id="rId21"/>
    <sheet xmlns:r="http://schemas.openxmlformats.org/officeDocument/2006/relationships" name="Valuation" sheetId="22" state="visible" r:id="rId22"/>
    <sheet xmlns:r="http://schemas.openxmlformats.org/officeDocument/2006/relationships" name="Sensitivity" sheetId="23" state="visible" r:id="rId23"/>
    <sheet xmlns:r="http://schemas.openxmlformats.org/officeDocument/2006/relationships" name="KPI Dashboard" sheetId="24" state="visible" r:id="rId24"/>
    <sheet xmlns:r="http://schemas.openxmlformats.org/officeDocument/2006/relationships" name="Checks" sheetId="25" state="visible" r:id="rId2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62033"/>
      <sz val="16"/>
    </font>
    <font>
      <color rgb="0064748B"/>
      <sz val="9"/>
    </font>
  </fonts>
  <fills count="4">
    <fill>
      <patternFill/>
    </fill>
    <fill>
      <patternFill patternType="gray125"/>
    </fill>
    <fill>
      <patternFill patternType="solid">
        <fgColor rgb="00DDEBFF"/>
      </patternFill>
    </fill>
    <fill>
      <patternFill patternType="solid">
        <fgColor rgb="00FFFFFF"/>
      </patternFill>
    </fill>
  </fills>
  <borders count="2">
    <border>
      <left/>
      <right/>
      <top/>
      <bottom/>
      <diagonal/>
    </border>
    <border>
      <bottom style="thin">
        <color rgb="00D9E2EC"/>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3" fontId="0" fillId="2" borderId="1" applyAlignment="1" pivotButton="0" quotePrefix="0" xfId="0">
      <alignment vertical="top" wrapText="1"/>
    </xf>
    <xf numFmtId="3" fontId="0" fillId="0" borderId="0" applyAlignment="1" pivotButton="0" quotePrefix="0" xfId="0">
      <alignment vertical="top" wrapText="1"/>
    </xf>
    <xf numFmtId="3" fontId="0" fillId="3" borderId="1" applyAlignment="1" pivotButton="0" quotePrefix="0" xfId="0">
      <alignment vertical="top" wrapText="1"/>
    </xf>
    <xf numFmtId="3"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Build</a:t>
            </a:r>
          </a:p>
        </rich>
      </tx>
    </title>
    <plotArea>
      <barChart>
        <barDir val="col"/>
        <grouping val="clustered"/>
        <ser>
          <idx val="0"/>
          <order val="0"/>
          <spPr>
            <a:ln xmlns:a="http://schemas.openxmlformats.org/drawingml/2006/main">
              <a:prstDash val="solid"/>
            </a:ln>
          </spPr>
          <cat>
            <numRef>
              <f>'Revenue Build'!$B$1:$F$1</f>
            </numRef>
          </cat>
          <val>
            <numRef>
              <f>'Revenue Build'!$B$6:$F$6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Ending Cash Projection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 Flow'!$B$1:$F$1</f>
            </numRef>
          </cat>
          <val>
            <numRef>
              <f>'Cash Flow'!$B$5:$F$5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8</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Cover</t>
        </is>
      </c>
      <c r="B1" s="2" t="n"/>
    </row>
    <row r="2">
      <c r="A2" s="3" t="inlineStr">
        <is>
          <t>PT TAPGO LION INDONESIA | TapGo Master Blueprint 2026-2035</t>
        </is>
      </c>
      <c r="B2" s="2" t="n"/>
    </row>
    <row r="3">
      <c r="A3" s="4" t="n"/>
      <c r="B3" s="4" t="n"/>
    </row>
    <row r="4">
      <c r="A4" s="4" t="inlineStr">
        <is>
          <t>Company</t>
        </is>
      </c>
      <c r="B4" s="5" t="inlineStr">
        <is>
          <t>PT TAPGO LION INDONESIA</t>
        </is>
      </c>
    </row>
    <row r="5">
      <c r="A5" s="4" t="inlineStr">
        <is>
          <t>Brand</t>
        </is>
      </c>
      <c r="B5" s="5" t="inlineStr">
        <is>
          <t>TapGo</t>
        </is>
      </c>
    </row>
    <row r="6">
      <c r="A6" s="4" t="inlineStr">
        <is>
          <t>Scenario model</t>
        </is>
      </c>
      <c r="B6" s="5" t="inlineStr">
        <is>
          <t>Editable assumptions</t>
        </is>
      </c>
    </row>
    <row r="7">
      <c r="A7" s="4" t="n"/>
      <c r="B7" s="4" t="n"/>
    </row>
    <row r="8">
      <c r="A8" s="4" t="inlineStr">
        <is>
          <t>Dokumen ini merupakan rencana strategis dan model keuangan internal. Proyeksi, valuasi, target, dan estimasi di dalamnya didasarkan pada asumsi yang dapat berubah. Dokumen ini bukan penawaran efek, jaminan keuntungan, audit keuangan, atau appraisal independen.</t>
        </is>
      </c>
      <c r="B8"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Instructions</t>
        </is>
      </c>
    </row>
    <row r="2">
      <c r="A2" s="3" t="inlineStr">
        <is>
          <t>PT TAPGO LION INDONESIA | TapGo Master Blueprint 2026-2035</t>
        </is>
      </c>
    </row>
    <row r="3">
      <c r="A3" s="4" t="n"/>
    </row>
    <row r="4">
      <c r="A4" s="4" t="inlineStr">
        <is>
          <t>1. Change scenario in Scenario Selector!B4.</t>
        </is>
      </c>
    </row>
    <row r="5">
      <c r="A5" s="4" t="inlineStr">
        <is>
          <t>2. Edit blue cells in Assumptions.</t>
        </is>
      </c>
    </row>
    <row r="6">
      <c r="A6" s="4" t="inlineStr">
        <is>
          <t>3. Review Checks sheet for PASS/FAIL.</t>
        </is>
      </c>
    </row>
    <row r="7">
      <c r="A7" s="4" t="inlineStr">
        <is>
          <t>4. This workbook is illustrative and must be updated with actual launch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Assumptions</t>
        </is>
      </c>
      <c r="B1" s="2" t="n"/>
      <c r="C1" s="2" t="n"/>
    </row>
    <row r="2">
      <c r="A2" s="3" t="inlineStr">
        <is>
          <t>PT TAPGO LION INDONESIA | TapGo Master Blueprint 2026-2035</t>
        </is>
      </c>
      <c r="B2" s="2" t="n"/>
      <c r="C2" s="2" t="n"/>
    </row>
    <row r="3">
      <c r="A3" s="4" t="inlineStr">
        <is>
          <t>Input</t>
        </is>
      </c>
      <c r="B3" s="4" t="inlineStr">
        <is>
          <t>Value</t>
        </is>
      </c>
      <c r="C3" s="4" t="inlineStr">
        <is>
          <t>Notes</t>
        </is>
      </c>
    </row>
    <row r="4">
      <c r="A4" s="4" t="inlineStr">
        <is>
          <t>Scenario</t>
        </is>
      </c>
      <c r="B4" s="5" t="inlineStr">
        <is>
          <t>Base</t>
        </is>
      </c>
      <c r="C4" s="5" t="inlineStr">
        <is>
          <t>Editable</t>
        </is>
      </c>
    </row>
    <row r="5">
      <c r="A5" s="4" t="inlineStr">
        <is>
          <t>Initial Investment Baseline</t>
        </is>
      </c>
      <c r="B5" s="6" t="n">
        <v>800000000</v>
      </c>
      <c r="C5" s="5" t="inlineStr">
        <is>
          <t>Owner Confirmation Required</t>
        </is>
      </c>
    </row>
    <row r="6">
      <c r="A6" s="4" t="inlineStr">
        <is>
          <t>Monthly Operating Budget</t>
        </is>
      </c>
      <c r="B6" s="6" t="n">
        <v>159500000</v>
      </c>
      <c r="C6" s="5" t="inlineStr">
        <is>
          <t>Owner Confirmation Required</t>
        </is>
      </c>
    </row>
    <row r="7">
      <c r="A7" s="4" t="inlineStr">
        <is>
          <t>Emergency Reserve Months</t>
        </is>
      </c>
      <c r="B7" s="6" t="n">
        <v>2</v>
      </c>
      <c r="C7" s="5" t="inlineStr">
        <is>
          <t>Editable</t>
        </is>
      </c>
    </row>
    <row r="8">
      <c r="A8" s="4" t="inlineStr">
        <is>
          <t>Payment Gateway Fee Rate</t>
        </is>
      </c>
      <c r="B8" s="6" t="n">
        <v>0.02</v>
      </c>
      <c r="C8" s="5" t="inlineStr">
        <is>
          <t>Editable</t>
        </is>
      </c>
    </row>
    <row r="9">
      <c r="A9" s="4" t="inlineStr">
        <is>
          <t>Tax Rate</t>
        </is>
      </c>
      <c r="B9" s="6" t="n">
        <v>0.11</v>
      </c>
      <c r="C9" s="5" t="inlineStr">
        <is>
          <t>Editable</t>
        </is>
      </c>
    </row>
    <row r="10">
      <c r="A10" s="4" t="inlineStr">
        <is>
          <t>Sponsor Bonus Rate</t>
        </is>
      </c>
      <c r="B10" s="6" t="n">
        <v>0.08</v>
      </c>
      <c r="C10" s="5" t="inlineStr">
        <is>
          <t>Editable</t>
        </is>
      </c>
    </row>
    <row r="11">
      <c r="A11" s="4" t="inlineStr">
        <is>
          <t>Level Bonus Max Rate</t>
        </is>
      </c>
      <c r="B11" s="6" t="n">
        <v>0.23</v>
      </c>
      <c r="C11" s="5" t="inlineStr">
        <is>
          <t>Editable</t>
        </is>
      </c>
    </row>
    <row r="12">
      <c r="A12" s="4" t="inlineStr">
        <is>
          <t>Reward Provision Rate</t>
        </is>
      </c>
      <c r="B12" s="6" t="n">
        <v>0.02</v>
      </c>
      <c r="C12" s="5" t="inlineStr">
        <is>
          <t>Editable</t>
        </is>
      </c>
    </row>
    <row r="13">
      <c r="A13" s="4" t="inlineStr">
        <is>
          <t>Operational Allocation Rate</t>
        </is>
      </c>
      <c r="B13" s="6" t="n">
        <v>0.1</v>
      </c>
      <c r="C13" s="5" t="inlineStr">
        <is>
          <t>Editable</t>
        </is>
      </c>
    </row>
    <row r="14">
      <c r="A14" s="4" t="inlineStr">
        <is>
          <t>Silver Price</t>
        </is>
      </c>
      <c r="B14" s="6" t="n">
        <v>500000</v>
      </c>
      <c r="C14" s="5" t="inlineStr">
        <is>
          <t>Editable</t>
        </is>
      </c>
    </row>
    <row r="15">
      <c r="A15" s="4" t="inlineStr">
        <is>
          <t>Gold Price</t>
        </is>
      </c>
      <c r="B15" s="6" t="n">
        <v>3000000</v>
      </c>
      <c r="C15" s="5" t="inlineStr">
        <is>
          <t>Editable</t>
        </is>
      </c>
    </row>
    <row r="16">
      <c r="A16" s="4" t="inlineStr">
        <is>
          <t>Platinum Price</t>
        </is>
      </c>
      <c r="B16" s="6" t="n">
        <v>5500000</v>
      </c>
      <c r="C16" s="5" t="inlineStr">
        <is>
          <t>Editable</t>
        </is>
      </c>
    </row>
    <row r="17">
      <c r="A17" s="4" t="inlineStr">
        <is>
          <t>Silver PPOB</t>
        </is>
      </c>
      <c r="B17" s="6" t="n">
        <v>100000</v>
      </c>
      <c r="C17" s="5" t="inlineStr">
        <is>
          <t>Editable</t>
        </is>
      </c>
    </row>
    <row r="18">
      <c r="A18" s="4" t="inlineStr">
        <is>
          <t>Gold PPOB</t>
        </is>
      </c>
      <c r="B18" s="6" t="n">
        <v>600000</v>
      </c>
      <c r="C18" s="5" t="inlineStr">
        <is>
          <t>Editable</t>
        </is>
      </c>
    </row>
    <row r="19">
      <c r="A19" s="4" t="inlineStr">
        <is>
          <t>Platinum PPOB</t>
        </is>
      </c>
      <c r="B19" s="6" t="n">
        <v>1000000</v>
      </c>
      <c r="C19" s="5" t="inlineStr">
        <is>
          <t>Editable</t>
        </is>
      </c>
    </row>
    <row r="20">
      <c r="A20" s="4" t="inlineStr">
        <is>
          <t>Silver Partner Cost</t>
        </is>
      </c>
      <c r="B20" s="6" t="n">
        <v>80000</v>
      </c>
      <c r="C20" s="5" t="inlineStr">
        <is>
          <t>Editable</t>
        </is>
      </c>
    </row>
    <row r="21">
      <c r="A21" s="4" t="inlineStr">
        <is>
          <t>Gold Partner Cost</t>
        </is>
      </c>
      <c r="B21" s="6" t="n">
        <v>180000</v>
      </c>
      <c r="C21" s="5" t="inlineStr">
        <is>
          <t>Editable</t>
        </is>
      </c>
    </row>
    <row r="22">
      <c r="A22" s="4" t="inlineStr">
        <is>
          <t>Platinum Partner Cost</t>
        </is>
      </c>
      <c r="B22" s="6" t="n">
        <v>350000</v>
      </c>
      <c r="C22" s="5" t="inlineStr">
        <is>
          <t>Editable</t>
        </is>
      </c>
    </row>
    <row r="23">
      <c r="A23" s="4" t="inlineStr">
        <is>
          <t>CAC Base</t>
        </is>
      </c>
      <c r="B23" s="6" t="n">
        <v>65000</v>
      </c>
      <c r="C23" s="5" t="inlineStr">
        <is>
          <t>Editable</t>
        </is>
      </c>
    </row>
    <row r="24">
      <c r="A24" s="4" t="inlineStr">
        <is>
          <t>ARPU Monthly Base</t>
        </is>
      </c>
      <c r="B24" s="6" t="n">
        <v>35000</v>
      </c>
      <c r="C24" s="5" t="inlineStr">
        <is>
          <t>Editable</t>
        </is>
      </c>
    </row>
    <row r="25">
      <c r="A25" s="4" t="inlineStr">
        <is>
          <t>Merchant Revenue Monthly</t>
        </is>
      </c>
      <c r="B25" s="6" t="n">
        <v>75000</v>
      </c>
      <c r="C25" s="5" t="inlineStr">
        <is>
          <t>Editable</t>
        </is>
      </c>
    </row>
    <row r="26">
      <c r="A26" s="4" t="inlineStr">
        <is>
          <t>Starting Cash</t>
        </is>
      </c>
      <c r="B26" s="6" t="n">
        <v>3000000000</v>
      </c>
      <c r="C26" s="5" t="inlineStr">
        <is>
          <t>Editable</t>
        </is>
      </c>
    </row>
    <row r="27">
      <c r="A27" s="4" t="inlineStr">
        <is>
          <t>Funding Seed Low</t>
        </is>
      </c>
      <c r="B27" s="6" t="n">
        <v>2000000000</v>
      </c>
      <c r="C27" s="5" t="inlineStr">
        <is>
          <t>Editable</t>
        </is>
      </c>
    </row>
    <row r="28">
      <c r="A28" s="4" t="inlineStr">
        <is>
          <t>Funding Seed High</t>
        </is>
      </c>
      <c r="B28" s="6" t="n">
        <v>5000000000</v>
      </c>
      <c r="C28" s="5" t="inlineStr">
        <is>
          <t>Editable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 Selector</t>
        </is>
      </c>
      <c r="B1" s="2" t="n"/>
      <c r="C1" s="2" t="n"/>
      <c r="D1" s="2" t="n"/>
    </row>
    <row r="2">
      <c r="A2" s="3" t="inlineStr">
        <is>
          <t>PT TAPGO LION INDONESIA | TapGo Master Blueprint 2026-2035</t>
        </is>
      </c>
      <c r="B2" s="2" t="n"/>
      <c r="C2" s="2" t="n"/>
      <c r="D2" s="2" t="n"/>
    </row>
    <row r="3">
      <c r="A3" s="4" t="inlineStr">
        <is>
          <t>Scenario</t>
        </is>
      </c>
      <c r="B3" s="4" t="inlineStr">
        <is>
          <t>Growth Multiplier</t>
        </is>
      </c>
      <c r="C3" s="4" t="inlineStr">
        <is>
          <t>Cost Multiplier</t>
        </is>
      </c>
      <c r="D3" s="4" t="inlineStr">
        <is>
          <t>CAC Multiplier</t>
        </is>
      </c>
    </row>
    <row r="4">
      <c r="A4" s="4" t="inlineStr">
        <is>
          <t>Conservative</t>
        </is>
      </c>
      <c r="B4" s="6" t="n">
        <v>0.65</v>
      </c>
      <c r="C4" s="6" t="n">
        <v>0.9</v>
      </c>
      <c r="D4" s="6" t="n">
        <v>0.9</v>
      </c>
    </row>
    <row r="5">
      <c r="A5" s="4" t="inlineStr">
        <is>
          <t>Base</t>
        </is>
      </c>
      <c r="B5" s="6" t="n">
        <v>1</v>
      </c>
      <c r="C5" s="6" t="n">
        <v>1</v>
      </c>
      <c r="D5" s="6" t="n">
        <v>1</v>
      </c>
    </row>
    <row r="6">
      <c r="A6" s="4" t="inlineStr">
        <is>
          <t>Selected</t>
        </is>
      </c>
      <c r="B6" s="5" t="inlineStr">
        <is>
          <t>Base</t>
        </is>
      </c>
      <c r="C6" s="6" t="n">
        <v>1.25</v>
      </c>
      <c r="D6" s="6"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Membership Economics</t>
        </is>
      </c>
      <c r="B1" s="2" t="n"/>
      <c r="C1" s="2" t="n"/>
      <c r="D1" s="2" t="n"/>
      <c r="E1" s="2" t="n"/>
      <c r="F1" s="2" t="n"/>
      <c r="G1" s="2" t="n"/>
      <c r="H1" s="2" t="n"/>
      <c r="I1" s="2" t="n"/>
      <c r="J1" s="2" t="n"/>
      <c r="K1" s="2" t="n"/>
    </row>
    <row r="2">
      <c r="A2" s="3" t="inlineStr">
        <is>
          <t>Silver</t>
        </is>
      </c>
      <c r="B2" s="7">
        <f>'Assumptions'!B11</f>
        <v/>
      </c>
      <c r="C2" s="7">
        <f>'Assumptions'!B14</f>
        <v/>
      </c>
      <c r="D2" s="7">
        <f>'Assumptions'!B17</f>
        <v/>
      </c>
      <c r="E2" s="7">
        <f>B2*'Assumptions'!B5</f>
        <v/>
      </c>
      <c r="F2" s="7">
        <f>B2*'Assumptions'!B7</f>
        <v/>
      </c>
      <c r="G2" s="7">
        <f>B2*'Assumptions'!B8</f>
        <v/>
      </c>
      <c r="H2" s="7">
        <f>B2*'Assumptions'!B9</f>
        <v/>
      </c>
      <c r="I2" s="7">
        <f>B2*'Assumptions'!B6</f>
        <v/>
      </c>
      <c r="J2" s="7">
        <f>B2*'Assumptions'!B10</f>
        <v/>
      </c>
      <c r="K2" s="7">
        <f>B2-SUM(C2:J2)</f>
        <v/>
      </c>
    </row>
    <row r="3">
      <c r="A3" s="4" t="inlineStr">
        <is>
          <t>Gold</t>
        </is>
      </c>
      <c r="B3" s="8">
        <f>'Assumptions'!B12</f>
        <v/>
      </c>
      <c r="C3" s="8">
        <f>'Assumptions'!B15</f>
        <v/>
      </c>
      <c r="D3" s="8">
        <f>'Assumptions'!B18</f>
        <v/>
      </c>
      <c r="E3" s="8">
        <f>B3*'Assumptions'!B5</f>
        <v/>
      </c>
      <c r="F3" s="8">
        <f>B3*'Assumptions'!B7</f>
        <v/>
      </c>
      <c r="G3" s="8">
        <f>B3*'Assumptions'!B8</f>
        <v/>
      </c>
      <c r="H3" s="8">
        <f>B3*'Assumptions'!B9</f>
        <v/>
      </c>
      <c r="I3" s="8">
        <f>B3*'Assumptions'!B6</f>
        <v/>
      </c>
      <c r="J3" s="8">
        <f>B3*'Assumptions'!B10</f>
        <v/>
      </c>
      <c r="K3" s="8">
        <f>B3-SUM(C3:J3)</f>
        <v/>
      </c>
    </row>
    <row r="4">
      <c r="A4" s="4" t="inlineStr">
        <is>
          <t>Platinum</t>
        </is>
      </c>
      <c r="B4" s="8">
        <f>'Assumptions'!B13</f>
        <v/>
      </c>
      <c r="C4" s="8">
        <f>'Assumptions'!B16</f>
        <v/>
      </c>
      <c r="D4" s="8">
        <f>'Assumptions'!B19</f>
        <v/>
      </c>
      <c r="E4" s="8">
        <f>B4*'Assumptions'!B5</f>
        <v/>
      </c>
      <c r="F4" s="8">
        <f>B4*'Assumptions'!B7</f>
        <v/>
      </c>
      <c r="G4" s="8">
        <f>B4*'Assumptions'!B8</f>
        <v/>
      </c>
      <c r="H4" s="8">
        <f>B4*'Assumptions'!B9</f>
        <v/>
      </c>
      <c r="I4" s="8">
        <f>B4*'Assumptions'!B6</f>
        <v/>
      </c>
      <c r="J4" s="8">
        <f>B4*'Assumptions'!B10</f>
        <v/>
      </c>
      <c r="K4" s="8">
        <f>B4-SUM(C4:J4)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Bonus Liability</t>
        </is>
      </c>
      <c r="B1" s="2" t="n"/>
      <c r="C1" s="2" t="n"/>
      <c r="D1" s="2" t="n"/>
    </row>
    <row r="2">
      <c r="A2" s="3" t="inlineStr">
        <is>
          <t>Low</t>
        </is>
      </c>
      <c r="B2" s="7" t="n">
        <v>0.25</v>
      </c>
      <c r="C2" s="7">
        <f>'Revenue Build'!F5</f>
        <v/>
      </c>
      <c r="D2" s="7">
        <f>B2*C2</f>
        <v/>
      </c>
    </row>
    <row r="3">
      <c r="A3" s="4" t="inlineStr">
        <is>
          <t>Managed</t>
        </is>
      </c>
      <c r="B3" s="9" t="n">
        <v>0.4</v>
      </c>
      <c r="C3" s="8">
        <f>'Revenue Build'!F5</f>
        <v/>
      </c>
      <c r="D3" s="8">
        <f>B3*C3</f>
        <v/>
      </c>
    </row>
    <row r="4">
      <c r="A4" s="4" t="inlineStr">
        <is>
          <t>Stress</t>
        </is>
      </c>
      <c r="B4" s="6" t="n">
        <v>0.6</v>
      </c>
      <c r="C4" s="8">
        <f>'Revenue Build'!F5</f>
        <v/>
      </c>
      <c r="D4" s="8">
        <f>B4*C4</f>
        <v/>
      </c>
    </row>
    <row r="5">
      <c r="A5" s="4" t="inlineStr">
        <is>
          <t>Concentration</t>
        </is>
      </c>
      <c r="B5" s="6" t="n">
        <v>0.75</v>
      </c>
      <c r="C5" s="8">
        <f>'Revenue Build'!F5</f>
        <v/>
      </c>
      <c r="D5" s="8">
        <f>B5*C5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User Growth</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Registered Users</t>
        </is>
      </c>
      <c r="B4" s="6" t="n">
        <v>10000</v>
      </c>
      <c r="C4" s="8">
        <f>B2*5</f>
        <v/>
      </c>
      <c r="D4" s="8">
        <f>C2*2</f>
        <v/>
      </c>
      <c r="E4" s="8">
        <f>D2*1.5</f>
        <v/>
      </c>
      <c r="F4" s="8">
        <f>E2*1.4</f>
        <v/>
      </c>
    </row>
    <row r="5">
      <c r="A5" s="4" t="inlineStr">
        <is>
          <t>Active Users</t>
        </is>
      </c>
      <c r="B5" s="8">
        <f>B2*45%</f>
        <v/>
      </c>
      <c r="C5" s="8">
        <f>C2*50%</f>
        <v/>
      </c>
      <c r="D5" s="8">
        <f>D2*55%</f>
        <v/>
      </c>
      <c r="E5" s="8">
        <f>E2*58%</f>
        <v/>
      </c>
      <c r="F5" s="8">
        <f>F2*60%</f>
        <v/>
      </c>
    </row>
    <row r="6">
      <c r="A6" s="4" t="inlineStr">
        <is>
          <t>Paid Members</t>
        </is>
      </c>
      <c r="B6" s="8">
        <f>B3*18%</f>
        <v/>
      </c>
      <c r="C6" s="8">
        <f>C3*20%</f>
        <v/>
      </c>
      <c r="D6" s="8">
        <f>D3*22%</f>
        <v/>
      </c>
      <c r="E6" s="8">
        <f>E3*24%</f>
        <v/>
      </c>
      <c r="F6" s="8">
        <f>F3*25%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Merchant Growth</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Registered Merchants</t>
        </is>
      </c>
      <c r="B4" s="6" t="n">
        <v>250</v>
      </c>
      <c r="C4" s="6" t="n">
        <v>1500</v>
      </c>
      <c r="D4" s="6" t="n">
        <v>5000</v>
      </c>
      <c r="E4" s="6" t="n">
        <v>12000</v>
      </c>
      <c r="F4" s="6" t="n">
        <v>20000</v>
      </c>
    </row>
    <row r="5">
      <c r="A5" s="4" t="inlineStr">
        <is>
          <t>Active Merchants</t>
        </is>
      </c>
      <c r="B5" s="8">
        <f>B2*45%</f>
        <v/>
      </c>
      <c r="C5" s="8">
        <f>C2*55%</f>
        <v/>
      </c>
      <c r="D5" s="8">
        <f>D2*60%</f>
        <v/>
      </c>
      <c r="E5" s="8">
        <f>E2*65%</f>
        <v/>
      </c>
      <c r="F5" s="8">
        <f>F2*70%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Revenue Build</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Paid Members</t>
        </is>
      </c>
      <c r="B4" s="8">
        <f>'User Growth'!B4</f>
        <v/>
      </c>
      <c r="C4" s="8">
        <f>'User Growth'!C4</f>
        <v/>
      </c>
      <c r="D4" s="8">
        <f>'User Growth'!D4</f>
        <v/>
      </c>
      <c r="E4" s="8">
        <f>'User Growth'!E4</f>
        <v/>
      </c>
      <c r="F4" s="8">
        <f>'User Growth'!F4</f>
        <v/>
      </c>
    </row>
    <row r="5">
      <c r="A5" s="4" t="inlineStr">
        <is>
          <t>Avg Membership Revenue</t>
        </is>
      </c>
      <c r="B5" s="6" t="n">
        <v>800000</v>
      </c>
      <c r="C5" s="6" t="n">
        <v>900000</v>
      </c>
      <c r="D5" s="6" t="n">
        <v>1000000</v>
      </c>
      <c r="E5" s="6" t="n">
        <v>1050000</v>
      </c>
      <c r="F5" s="6" t="n">
        <v>1100000</v>
      </c>
    </row>
    <row r="6">
      <c r="A6" s="4" t="inlineStr">
        <is>
          <t>Membership Revenue</t>
        </is>
      </c>
      <c r="B6" s="8">
        <f>B2*B3</f>
        <v/>
      </c>
      <c r="C6" s="8">
        <f>C2*C3</f>
        <v/>
      </c>
      <c r="D6" s="8">
        <f>D2*D3</f>
        <v/>
      </c>
      <c r="E6" s="8">
        <f>E2*E3</f>
        <v/>
      </c>
      <c r="F6" s="8">
        <f>F2*F3</f>
        <v/>
      </c>
    </row>
    <row r="7">
      <c r="A7" s="4" t="inlineStr">
        <is>
          <t>Merchant Revenue</t>
        </is>
      </c>
      <c r="B7" s="8">
        <f>'Merchant Growth'!B3*'Assumptions'!B22*12</f>
        <v/>
      </c>
      <c r="C7" s="8">
        <f>'Merchant Growth'!C3*'Assumptions'!B22*12</f>
        <v/>
      </c>
      <c r="D7" s="8">
        <f>'Merchant Growth'!D3*'Assumptions'!B22*12</f>
        <v/>
      </c>
      <c r="E7" s="8">
        <f>'Merchant Growth'!E3*'Assumptions'!B22*12</f>
        <v/>
      </c>
      <c r="F7" s="8">
        <f>'Merchant Growth'!F3*'Assumptions'!B22*12</f>
        <v/>
      </c>
    </row>
    <row r="8">
      <c r="A8" s="4" t="inlineStr">
        <is>
          <t>Total Revenue</t>
        </is>
      </c>
      <c r="B8" s="8">
        <f>B4+B5</f>
        <v/>
      </c>
      <c r="C8" s="8">
        <f>C4+C5</f>
        <v/>
      </c>
      <c r="D8" s="8">
        <f>D4+D5</f>
        <v/>
      </c>
      <c r="E8" s="8">
        <f>E4+E5</f>
        <v/>
      </c>
      <c r="F8" s="8">
        <f>F4+F5</f>
        <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Variable Cost</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Gateway Cost</t>
        </is>
      </c>
      <c r="B4" s="8">
        <f>'Revenue Build'!B6*'Assumptions'!B5</f>
        <v/>
      </c>
      <c r="C4" s="8">
        <f>'Revenue Build'!C6*'Assumptions'!B5</f>
        <v/>
      </c>
      <c r="D4" s="8">
        <f>'Revenue Build'!D6*'Assumptions'!B5</f>
        <v/>
      </c>
      <c r="E4" s="8">
        <f>'Revenue Build'!E6*'Assumptions'!B5</f>
        <v/>
      </c>
      <c r="F4" s="8">
        <f>'Revenue Build'!F6*'Assumptions'!B5</f>
        <v/>
      </c>
    </row>
    <row r="5">
      <c r="A5" s="4" t="inlineStr">
        <is>
          <t>Bonus/Reward Provision</t>
        </is>
      </c>
      <c r="B5" s="8">
        <f>'Revenue Build'!B4*35%</f>
        <v/>
      </c>
      <c r="C5" s="8">
        <f>'Revenue Build'!C4*35%</f>
        <v/>
      </c>
      <c r="D5" s="8">
        <f>'Revenue Build'!D4*35%</f>
        <v/>
      </c>
      <c r="E5" s="8">
        <f>'Revenue Build'!E4*35%</f>
        <v/>
      </c>
      <c r="F5" s="8">
        <f>'Revenue Build'!F4*35%</f>
        <v/>
      </c>
    </row>
    <row r="6">
      <c r="A6" s="4" t="inlineStr">
        <is>
          <t>Other Variable Cost</t>
        </is>
      </c>
      <c r="B6" s="8">
        <f>'Revenue Build'!B6*8%</f>
        <v/>
      </c>
      <c r="C6" s="8">
        <f>'Revenue Build'!C6*8%</f>
        <v/>
      </c>
      <c r="D6" s="8">
        <f>'Revenue Build'!D6*8%</f>
        <v/>
      </c>
      <c r="E6" s="8">
        <f>'Revenue Build'!E6*8%</f>
        <v/>
      </c>
      <c r="F6" s="8">
        <f>'Revenue Build'!F6*8%</f>
        <v/>
      </c>
    </row>
    <row r="7">
      <c r="A7" s="4" t="inlineStr">
        <is>
          <t>Total Variable Cost</t>
        </is>
      </c>
      <c r="B7" s="8">
        <f>SUM(B2:B4)</f>
        <v/>
      </c>
      <c r="C7" s="8">
        <f>SUM(C2:C4)</f>
        <v/>
      </c>
      <c r="D7" s="8">
        <f>SUM(D2:D4)</f>
        <v/>
      </c>
      <c r="E7" s="8">
        <f>SUM(E2:E4)</f>
        <v/>
      </c>
      <c r="F7" s="8">
        <f>SUM(F2:F4)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Fixed Cost</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Annual Fixed Cost</t>
        </is>
      </c>
      <c r="B4" s="8">
        <f>'Assumptions'!B3*12</f>
        <v/>
      </c>
      <c r="C4" s="8">
        <f>B2*1.25</f>
        <v/>
      </c>
      <c r="D4" s="8">
        <f>C2*1.25</f>
        <v/>
      </c>
      <c r="E4" s="8">
        <f>D2*1.22</f>
        <v/>
      </c>
      <c r="F4" s="8">
        <f>E2*1.18</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Headcount</t>
        </is>
      </c>
      <c r="B1" s="2" t="n"/>
      <c r="C1" s="2" t="n"/>
      <c r="D1" s="2" t="n"/>
      <c r="E1" s="2" t="n"/>
      <c r="F1" s="2" t="n"/>
    </row>
    <row r="2">
      <c r="A2" s="3" t="inlineStr">
        <is>
          <t>PT TAPGO LION INDONESIA | TapGo Master Blueprint 2026-2035</t>
        </is>
      </c>
      <c r="B2" s="2" t="n"/>
      <c r="C2" s="2" t="n"/>
      <c r="D2" s="2" t="n"/>
      <c r="E2" s="2" t="n"/>
      <c r="F2" s="2" t="n"/>
    </row>
    <row r="3">
      <c r="A3" s="4" t="inlineStr">
        <is>
          <t>Category</t>
        </is>
      </c>
      <c r="B3" s="9" t="n">
        <v>2026</v>
      </c>
      <c r="C3" s="9" t="n">
        <v>2027</v>
      </c>
      <c r="D3" s="9" t="n">
        <v>2028</v>
      </c>
      <c r="E3" s="9" t="n">
        <v>2029</v>
      </c>
      <c r="F3" s="9" t="n">
        <v>2030</v>
      </c>
    </row>
    <row r="4">
      <c r="A4" s="4" t="inlineStr">
        <is>
          <t>Core Team</t>
        </is>
      </c>
      <c r="B4" s="6" t="n">
        <v>8</v>
      </c>
      <c r="C4" s="6" t="n">
        <v>14</v>
      </c>
      <c r="D4" s="6" t="n">
        <v>24</v>
      </c>
      <c r="E4" s="6" t="n">
        <v>38</v>
      </c>
      <c r="F4" s="6" t="n">
        <v>55</v>
      </c>
    </row>
    <row r="5">
      <c r="A5" s="4" t="inlineStr">
        <is>
          <t>Regional/Ops</t>
        </is>
      </c>
      <c r="B5" s="6" t="n">
        <v>3</v>
      </c>
      <c r="C5" s="6" t="n">
        <v>10</v>
      </c>
      <c r="D5" s="6" t="n">
        <v>25</v>
      </c>
      <c r="E5" s="6" t="n">
        <v>55</v>
      </c>
      <c r="F5" s="6" t="n">
        <v>90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Capex</t>
        </is>
      </c>
      <c r="B1" s="2" t="n"/>
      <c r="C1" s="2" t="n"/>
      <c r="D1" s="2" t="n"/>
      <c r="E1" s="2" t="n"/>
      <c r="F1" s="2" t="n"/>
    </row>
    <row r="2">
      <c r="A2" s="3" t="inlineStr">
        <is>
          <t>PT TAPGO LION INDONESIA | TapGo Master Blueprint 2026-2035</t>
        </is>
      </c>
      <c r="B2" s="2" t="n"/>
      <c r="C2" s="2" t="n"/>
      <c r="D2" s="2" t="n"/>
      <c r="E2" s="2" t="n"/>
      <c r="F2" s="2" t="n"/>
    </row>
    <row r="3">
      <c r="A3" s="4" t="inlineStr">
        <is>
          <t>Category</t>
        </is>
      </c>
      <c r="B3" s="9" t="n">
        <v>2026</v>
      </c>
      <c r="C3" s="9" t="n">
        <v>2027</v>
      </c>
      <c r="D3" s="9" t="n">
        <v>2028</v>
      </c>
      <c r="E3" s="9" t="n">
        <v>2029</v>
      </c>
      <c r="F3" s="9" t="n">
        <v>2030</v>
      </c>
    </row>
    <row r="4">
      <c r="A4" s="4" t="inlineStr">
        <is>
          <t>Product &amp; Software</t>
        </is>
      </c>
      <c r="B4" s="6" t="n">
        <v>350000000</v>
      </c>
      <c r="C4" s="6" t="n">
        <v>250000000</v>
      </c>
      <c r="D4" s="6" t="n">
        <v>300000000</v>
      </c>
      <c r="E4" s="6" t="n">
        <v>350000000</v>
      </c>
      <c r="F4" s="6" t="n">
        <v>400000000</v>
      </c>
    </row>
    <row r="5">
      <c r="A5" s="4" t="inlineStr">
        <is>
          <t>Equipment</t>
        </is>
      </c>
      <c r="B5" s="6" t="n">
        <v>75000000</v>
      </c>
      <c r="C5" s="6" t="n">
        <v>100000000</v>
      </c>
      <c r="D5" s="6" t="n">
        <v>150000000</v>
      </c>
      <c r="E5" s="6" t="n">
        <v>200000000</v>
      </c>
      <c r="F5" s="6" t="n">
        <v>250000000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P&amp;L Monthly</t>
        </is>
      </c>
      <c r="B1" s="2" t="n"/>
      <c r="C1" s="2" t="n"/>
      <c r="D1" s="2" t="n"/>
    </row>
    <row r="2">
      <c r="A2" s="3" t="inlineStr">
        <is>
          <t>PT TAPGO LION INDONESIA | TapGo Master Blueprint 2026-2035</t>
        </is>
      </c>
      <c r="B2" s="2" t="n"/>
      <c r="C2" s="2" t="n"/>
      <c r="D2" s="2" t="n"/>
    </row>
    <row r="3">
      <c r="A3" s="4" t="inlineStr">
        <is>
          <t>Month</t>
        </is>
      </c>
      <c r="B3" s="4" t="inlineStr">
        <is>
          <t>Revenue</t>
        </is>
      </c>
      <c r="C3" s="4" t="inlineStr">
        <is>
          <t>Opex</t>
        </is>
      </c>
      <c r="D3" s="4" t="inlineStr">
        <is>
          <t>EBITDA</t>
        </is>
      </c>
    </row>
    <row r="4">
      <c r="A4" s="4" t="inlineStr">
        <is>
          <t>Month 1</t>
        </is>
      </c>
      <c r="B4" s="8">
        <f>'Revenue Build'!B6/12*POWER(1.03,0)</f>
        <v/>
      </c>
      <c r="C4" s="8">
        <f>'Assumptions'!B3</f>
        <v/>
      </c>
      <c r="D4" s="8">
        <f>B2-C2</f>
        <v/>
      </c>
    </row>
    <row r="5">
      <c r="A5" s="4" t="inlineStr">
        <is>
          <t>Month 2</t>
        </is>
      </c>
      <c r="B5" s="8">
        <f>'Revenue Build'!B6/12*POWER(1.03,1)</f>
        <v/>
      </c>
      <c r="C5" s="8">
        <f>'Assumptions'!B3</f>
        <v/>
      </c>
      <c r="D5" s="8">
        <f>B3-C3</f>
        <v/>
      </c>
    </row>
    <row r="6">
      <c r="A6" s="4" t="inlineStr">
        <is>
          <t>Month 3</t>
        </is>
      </c>
      <c r="B6" s="8">
        <f>'Revenue Build'!B6/12*POWER(1.03,2)</f>
        <v/>
      </c>
      <c r="C6" s="8">
        <f>'Assumptions'!B3</f>
        <v/>
      </c>
      <c r="D6" s="8">
        <f>B4-C4</f>
        <v/>
      </c>
    </row>
    <row r="7">
      <c r="A7" s="4" t="inlineStr">
        <is>
          <t>Month 4</t>
        </is>
      </c>
      <c r="B7" s="8">
        <f>'Revenue Build'!B6/12*POWER(1.03,3)</f>
        <v/>
      </c>
      <c r="C7" s="8">
        <f>'Assumptions'!B3</f>
        <v/>
      </c>
      <c r="D7" s="8">
        <f>B5-C5</f>
        <v/>
      </c>
    </row>
    <row r="8">
      <c r="A8" s="4" t="inlineStr">
        <is>
          <t>Month 5</t>
        </is>
      </c>
      <c r="B8" s="8">
        <f>'Revenue Build'!B6/12*POWER(1.03,4)</f>
        <v/>
      </c>
      <c r="C8" s="8">
        <f>'Assumptions'!B3</f>
        <v/>
      </c>
      <c r="D8" s="8">
        <f>B6-C6</f>
        <v/>
      </c>
    </row>
    <row r="9">
      <c r="A9" s="4" t="inlineStr">
        <is>
          <t>Month 6</t>
        </is>
      </c>
      <c r="B9" s="8">
        <f>'Revenue Build'!B6/12*POWER(1.03,5)</f>
        <v/>
      </c>
      <c r="C9" s="8">
        <f>'Assumptions'!B3</f>
        <v/>
      </c>
      <c r="D9" s="8">
        <f>B7-C7</f>
        <v/>
      </c>
    </row>
    <row r="10">
      <c r="A10" s="4" t="inlineStr">
        <is>
          <t>Month 7</t>
        </is>
      </c>
      <c r="B10" s="8">
        <f>'Revenue Build'!B6/12*POWER(1.03,6)</f>
        <v/>
      </c>
      <c r="C10" s="8">
        <f>'Assumptions'!B3</f>
        <v/>
      </c>
      <c r="D10" s="8">
        <f>B8-C8</f>
        <v/>
      </c>
    </row>
    <row r="11">
      <c r="A11" s="4" t="inlineStr">
        <is>
          <t>Month 8</t>
        </is>
      </c>
      <c r="B11" s="8">
        <f>'Revenue Build'!B6/12*POWER(1.03,7)</f>
        <v/>
      </c>
      <c r="C11" s="8">
        <f>'Assumptions'!B3</f>
        <v/>
      </c>
      <c r="D11" s="8">
        <f>B9-C9</f>
        <v/>
      </c>
    </row>
    <row r="12">
      <c r="A12" s="4" t="inlineStr">
        <is>
          <t>Month 9</t>
        </is>
      </c>
      <c r="B12" s="8">
        <f>'Revenue Build'!B6/12*POWER(1.03,8)</f>
        <v/>
      </c>
      <c r="C12" s="8">
        <f>'Assumptions'!B3</f>
        <v/>
      </c>
      <c r="D12" s="8">
        <f>B10-C10</f>
        <v/>
      </c>
    </row>
    <row r="13">
      <c r="A13" s="4" t="inlineStr">
        <is>
          <t>Month 10</t>
        </is>
      </c>
      <c r="B13" s="8">
        <f>'Revenue Build'!B6/12*POWER(1.03,9)</f>
        <v/>
      </c>
      <c r="C13" s="8">
        <f>'Assumptions'!B3</f>
        <v/>
      </c>
      <c r="D13" s="8">
        <f>B11-C11</f>
        <v/>
      </c>
    </row>
    <row r="14">
      <c r="A14" s="4" t="inlineStr">
        <is>
          <t>Month 11</t>
        </is>
      </c>
      <c r="B14" s="8">
        <f>'Revenue Build'!B6/12*POWER(1.03,10)</f>
        <v/>
      </c>
      <c r="C14" s="8">
        <f>'Assumptions'!B3</f>
        <v/>
      </c>
      <c r="D14" s="8">
        <f>B12-C12</f>
        <v/>
      </c>
    </row>
    <row r="15">
      <c r="A15" s="4" t="inlineStr">
        <is>
          <t>Month 12</t>
        </is>
      </c>
      <c r="B15" s="8">
        <f>'Revenue Build'!B6/12*POWER(1.03,11)</f>
        <v/>
      </c>
      <c r="C15" s="8">
        <f>'Assumptions'!B3</f>
        <v/>
      </c>
      <c r="D15" s="8">
        <f>B13-C13</f>
        <v/>
      </c>
    </row>
    <row r="16">
      <c r="A16" s="4" t="inlineStr">
        <is>
          <t>Month 13</t>
        </is>
      </c>
      <c r="B16" s="8">
        <f>'Revenue Build'!B6/12*POWER(1.03,12)</f>
        <v/>
      </c>
      <c r="C16" s="8">
        <f>'Assumptions'!B3</f>
        <v/>
      </c>
      <c r="D16" s="8">
        <f>B14-C14</f>
        <v/>
      </c>
    </row>
    <row r="17">
      <c r="A17" s="4" t="inlineStr">
        <is>
          <t>Month 14</t>
        </is>
      </c>
      <c r="B17" s="8">
        <f>'Revenue Build'!B6/12*POWER(1.03,13)</f>
        <v/>
      </c>
      <c r="C17" s="8">
        <f>'Assumptions'!B3</f>
        <v/>
      </c>
      <c r="D17" s="8">
        <f>B15-C15</f>
        <v/>
      </c>
    </row>
    <row r="18">
      <c r="A18" s="4" t="inlineStr">
        <is>
          <t>Month 15</t>
        </is>
      </c>
      <c r="B18" s="8">
        <f>'Revenue Build'!B6/12*POWER(1.03,14)</f>
        <v/>
      </c>
      <c r="C18" s="8">
        <f>'Assumptions'!B3</f>
        <v/>
      </c>
      <c r="D18" s="8">
        <f>B16-C16</f>
        <v/>
      </c>
    </row>
    <row r="19">
      <c r="A19" s="4" t="inlineStr">
        <is>
          <t>Month 16</t>
        </is>
      </c>
      <c r="B19" s="8">
        <f>'Revenue Build'!B6/12*POWER(1.03,15)</f>
        <v/>
      </c>
      <c r="C19" s="8">
        <f>'Assumptions'!B3</f>
        <v/>
      </c>
      <c r="D19" s="8">
        <f>B17-C17</f>
        <v/>
      </c>
    </row>
    <row r="20">
      <c r="A20" s="4" t="inlineStr">
        <is>
          <t>Month 17</t>
        </is>
      </c>
      <c r="B20" s="8">
        <f>'Revenue Build'!B6/12*POWER(1.03,16)</f>
        <v/>
      </c>
      <c r="C20" s="8">
        <f>'Assumptions'!B3</f>
        <v/>
      </c>
      <c r="D20" s="8">
        <f>B18-C18</f>
        <v/>
      </c>
    </row>
    <row r="21">
      <c r="A21" s="4" t="inlineStr">
        <is>
          <t>Month 18</t>
        </is>
      </c>
      <c r="B21" s="8">
        <f>'Revenue Build'!B6/12*POWER(1.03,17)</f>
        <v/>
      </c>
      <c r="C21" s="8">
        <f>'Assumptions'!B3</f>
        <v/>
      </c>
      <c r="D21" s="8">
        <f>B19-C19</f>
        <v/>
      </c>
    </row>
    <row r="22">
      <c r="A22" s="4" t="inlineStr">
        <is>
          <t>Month 19</t>
        </is>
      </c>
      <c r="B22" s="8">
        <f>'Revenue Build'!B6/12*POWER(1.03,18)</f>
        <v/>
      </c>
      <c r="C22" s="8">
        <f>'Assumptions'!B3</f>
        <v/>
      </c>
      <c r="D22" s="8">
        <f>B20-C20</f>
        <v/>
      </c>
    </row>
    <row r="23">
      <c r="A23" s="4" t="inlineStr">
        <is>
          <t>Month 20</t>
        </is>
      </c>
      <c r="B23" s="8">
        <f>'Revenue Build'!B6/12*POWER(1.03,19)</f>
        <v/>
      </c>
      <c r="C23" s="8">
        <f>'Assumptions'!B3</f>
        <v/>
      </c>
      <c r="D23" s="8">
        <f>B21-C21</f>
        <v/>
      </c>
    </row>
    <row r="24">
      <c r="A24" s="4" t="inlineStr">
        <is>
          <t>Month 21</t>
        </is>
      </c>
      <c r="B24" s="8">
        <f>'Revenue Build'!B6/12*POWER(1.03,20)</f>
        <v/>
      </c>
      <c r="C24" s="8">
        <f>'Assumptions'!B3</f>
        <v/>
      </c>
      <c r="D24" s="8">
        <f>B22-C22</f>
        <v/>
      </c>
    </row>
    <row r="25">
      <c r="A25" s="4" t="inlineStr">
        <is>
          <t>Month 22</t>
        </is>
      </c>
      <c r="B25" s="8">
        <f>'Revenue Build'!B6/12*POWER(1.03,21)</f>
        <v/>
      </c>
      <c r="C25" s="8">
        <f>'Assumptions'!B3</f>
        <v/>
      </c>
      <c r="D25" s="8">
        <f>B23-C23</f>
        <v/>
      </c>
    </row>
    <row r="26">
      <c r="A26" s="4" t="inlineStr">
        <is>
          <t>Month 23</t>
        </is>
      </c>
      <c r="B26" s="8">
        <f>'Revenue Build'!B6/12*POWER(1.03,22)</f>
        <v/>
      </c>
      <c r="C26" s="8">
        <f>'Assumptions'!B3</f>
        <v/>
      </c>
      <c r="D26" s="8">
        <f>B24-C24</f>
        <v/>
      </c>
    </row>
    <row r="27">
      <c r="A27" s="4" t="inlineStr">
        <is>
          <t>Month 24</t>
        </is>
      </c>
      <c r="B27" s="8">
        <f>'Revenue Build'!B6/12*POWER(1.03,23)</f>
        <v/>
      </c>
      <c r="C27" s="8">
        <f>'Assumptions'!B3</f>
        <v/>
      </c>
      <c r="D27" s="8">
        <f>B25-C25</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P&amp;L Annual</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Revenue</t>
        </is>
      </c>
      <c r="B4" s="8">
        <f>'Revenue Build'!B6</f>
        <v/>
      </c>
      <c r="C4" s="8">
        <f>'Revenue Build'!C6</f>
        <v/>
      </c>
      <c r="D4" s="8">
        <f>'Revenue Build'!D6</f>
        <v/>
      </c>
      <c r="E4" s="8">
        <f>'Revenue Build'!E6</f>
        <v/>
      </c>
      <c r="F4" s="8">
        <f>'Revenue Build'!F6</f>
        <v/>
      </c>
    </row>
    <row r="5">
      <c r="A5" s="4" t="inlineStr">
        <is>
          <t>Cost of Revenue</t>
        </is>
      </c>
      <c r="B5" s="8">
        <f>'Variable Cost'!B5</f>
        <v/>
      </c>
      <c r="C5" s="8">
        <f>'Variable Cost'!C5</f>
        <v/>
      </c>
      <c r="D5" s="8">
        <f>'Variable Cost'!D5</f>
        <v/>
      </c>
      <c r="E5" s="8">
        <f>'Variable Cost'!E5</f>
        <v/>
      </c>
      <c r="F5" s="8">
        <f>'Variable Cost'!F5</f>
        <v/>
      </c>
    </row>
    <row r="6">
      <c r="A6" s="4" t="inlineStr">
        <is>
          <t>Gross Profit</t>
        </is>
      </c>
      <c r="B6" s="8">
        <f>B2-B3</f>
        <v/>
      </c>
      <c r="C6" s="8">
        <f>C2-C3</f>
        <v/>
      </c>
      <c r="D6" s="8">
        <f>D2-D3</f>
        <v/>
      </c>
      <c r="E6" s="8">
        <f>E2-E3</f>
        <v/>
      </c>
      <c r="F6" s="8">
        <f>F2-F3</f>
        <v/>
      </c>
    </row>
    <row r="7">
      <c r="A7" s="4" t="inlineStr">
        <is>
          <t>Operating Expense</t>
        </is>
      </c>
      <c r="B7" s="8">
        <f>'Fixed Cost'!B2</f>
        <v/>
      </c>
      <c r="C7" s="8">
        <f>'Fixed Cost'!C2</f>
        <v/>
      </c>
      <c r="D7" s="8">
        <f>'Fixed Cost'!D2</f>
        <v/>
      </c>
      <c r="E7" s="8">
        <f>'Fixed Cost'!E2</f>
        <v/>
      </c>
      <c r="F7" s="8">
        <f>'Fixed Cost'!F2</f>
        <v/>
      </c>
    </row>
    <row r="8">
      <c r="A8" s="4" t="inlineStr">
        <is>
          <t>EBITDA</t>
        </is>
      </c>
      <c r="B8" s="8">
        <f>B4-B5</f>
        <v/>
      </c>
      <c r="C8" s="8">
        <f>C4-C5</f>
        <v/>
      </c>
      <c r="D8" s="8">
        <f>D4-D5</f>
        <v/>
      </c>
      <c r="E8" s="8">
        <f>E4-E5</f>
        <v/>
      </c>
      <c r="F8" s="8">
        <f>F4-F5</f>
        <v/>
      </c>
    </row>
    <row r="9">
      <c r="A9" s="4" t="inlineStr">
        <is>
          <t>Tax</t>
        </is>
      </c>
      <c r="B9" s="8">
        <f>MAX(0,B6*'Assumptions'!B6)</f>
        <v/>
      </c>
      <c r="C9" s="8">
        <f>MAX(0,C6*'Assumptions'!B6)</f>
        <v/>
      </c>
      <c r="D9" s="8">
        <f>MAX(0,D6*'Assumptions'!B6)</f>
        <v/>
      </c>
      <c r="E9" s="8">
        <f>MAX(0,E6*'Assumptions'!B6)</f>
        <v/>
      </c>
      <c r="F9" s="8">
        <f>MAX(0,F6*'Assumptions'!B6)</f>
        <v/>
      </c>
    </row>
    <row r="10">
      <c r="A10" s="4" t="inlineStr">
        <is>
          <t>Net Profit</t>
        </is>
      </c>
      <c r="B10" s="8">
        <f>B6-B7</f>
        <v/>
      </c>
      <c r="C10" s="8">
        <f>C6-C7</f>
        <v/>
      </c>
      <c r="D10" s="8">
        <f>D6-D7</f>
        <v/>
      </c>
      <c r="E10" s="8">
        <f>E6-E7</f>
        <v/>
      </c>
      <c r="F10" s="8">
        <f>F6-F7</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Balance Sheet</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Cash</t>
        </is>
      </c>
      <c r="B4" s="8">
        <f>'Cash Flow'!B5</f>
        <v/>
      </c>
      <c r="C4" s="8">
        <f>'Cash Flow'!C5</f>
        <v/>
      </c>
      <c r="D4" s="8">
        <f>'Cash Flow'!D5</f>
        <v/>
      </c>
      <c r="E4" s="8">
        <f>'Cash Flow'!E5</f>
        <v/>
      </c>
      <c r="F4" s="8">
        <f>'Cash Flow'!F5</f>
        <v/>
      </c>
    </row>
    <row r="5">
      <c r="A5" s="4" t="inlineStr">
        <is>
          <t>Fixed Assets</t>
        </is>
      </c>
      <c r="B5" s="6" t="n">
        <v>800000000</v>
      </c>
      <c r="C5" s="6" t="n">
        <v>900000000</v>
      </c>
      <c r="D5" s="6" t="n">
        <v>1000000000</v>
      </c>
      <c r="E5" s="6" t="n">
        <v>1100000000</v>
      </c>
      <c r="F5" s="6" t="n">
        <v>1200000000</v>
      </c>
    </row>
    <row r="6">
      <c r="A6" s="4" t="inlineStr">
        <is>
          <t>Total Assets</t>
        </is>
      </c>
      <c r="B6" s="8">
        <f>B2+B3</f>
        <v/>
      </c>
      <c r="C6" s="8">
        <f>C2+C3</f>
        <v/>
      </c>
      <c r="D6" s="8">
        <f>D2+D3</f>
        <v/>
      </c>
      <c r="E6" s="8">
        <f>E2+E3</f>
        <v/>
      </c>
      <c r="F6" s="8">
        <f>F2+F3</f>
        <v/>
      </c>
    </row>
    <row r="7">
      <c r="A7" s="4" t="inlineStr">
        <is>
          <t>Liabilities</t>
        </is>
      </c>
      <c r="B7" s="6" t="n">
        <v>300000000</v>
      </c>
      <c r="C7" s="6" t="n">
        <v>350000000</v>
      </c>
      <c r="D7" s="6" t="n">
        <v>450000000</v>
      </c>
      <c r="E7" s="6" t="n">
        <v>550000000</v>
      </c>
      <c r="F7" s="6" t="n">
        <v>650000000</v>
      </c>
    </row>
    <row r="8">
      <c r="A8" s="4" t="inlineStr">
        <is>
          <t>Equity</t>
        </is>
      </c>
      <c r="B8" s="8">
        <f>B4-B5</f>
        <v/>
      </c>
      <c r="C8" s="8">
        <f>C4-C5</f>
        <v/>
      </c>
      <c r="D8" s="8">
        <f>D4-D5</f>
        <v/>
      </c>
      <c r="E8" s="8">
        <f>E4-E5</f>
        <v/>
      </c>
      <c r="F8" s="8">
        <f>F4-F5</f>
        <v/>
      </c>
    </row>
    <row r="9">
      <c r="A9" s="4" t="inlineStr">
        <is>
          <t>Check</t>
        </is>
      </c>
      <c r="B9" s="8">
        <f>B4-B5-B6</f>
        <v/>
      </c>
      <c r="C9" s="8">
        <f>C4-C5-C6</f>
        <v/>
      </c>
      <c r="D9" s="8">
        <f>D4-D5-D6</f>
        <v/>
      </c>
      <c r="E9" s="8">
        <f>E4-E5-E6</f>
        <v/>
      </c>
      <c r="F9" s="8">
        <f>F4-F5-F6</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Cash Flow</t>
        </is>
      </c>
      <c r="B1" s="2" t="n"/>
      <c r="C1" s="2" t="n"/>
      <c r="D1" s="2" t="n"/>
      <c r="E1" s="2" t="n"/>
      <c r="F1" s="2" t="n"/>
    </row>
    <row r="2">
      <c r="A2" s="3" t="inlineStr">
        <is>
          <t>PT TAPGO LION INDONESIA | TapGo Master Blueprint 2026-2035</t>
        </is>
      </c>
      <c r="B2" s="2" t="n"/>
      <c r="C2" s="2" t="n"/>
      <c r="D2" s="2" t="n"/>
      <c r="E2" s="2" t="n"/>
      <c r="F2" s="2" t="n"/>
    </row>
    <row r="3">
      <c r="A3" s="4" t="inlineStr">
        <is>
          <t>Metric</t>
        </is>
      </c>
      <c r="B3" s="9" t="n">
        <v>2026</v>
      </c>
      <c r="C3" s="9" t="n">
        <v>2027</v>
      </c>
      <c r="D3" s="9" t="n">
        <v>2028</v>
      </c>
      <c r="E3" s="9" t="n">
        <v>2029</v>
      </c>
      <c r="F3" s="9" t="n">
        <v>2030</v>
      </c>
    </row>
    <row r="4">
      <c r="A4" s="4" t="inlineStr">
        <is>
          <t>Opening Cash</t>
        </is>
      </c>
      <c r="B4" s="8">
        <f>'Assumptions'!B23</f>
        <v/>
      </c>
      <c r="C4" s="8">
        <f>B5</f>
        <v/>
      </c>
      <c r="D4" s="8">
        <f>C5</f>
        <v/>
      </c>
      <c r="E4" s="8">
        <f>D5</f>
        <v/>
      </c>
      <c r="F4" s="8">
        <f>E5</f>
        <v/>
      </c>
    </row>
    <row r="5">
      <c r="A5" s="4" t="inlineStr">
        <is>
          <t>Operating Cash Flow</t>
        </is>
      </c>
      <c r="B5" s="8">
        <f>'P&amp;L Annual'!B8</f>
        <v/>
      </c>
      <c r="C5" s="8">
        <f>'P&amp;L Annual'!C8</f>
        <v/>
      </c>
      <c r="D5" s="8">
        <f>'P&amp;L Annual'!D8</f>
        <v/>
      </c>
      <c r="E5" s="8">
        <f>'P&amp;L Annual'!E8</f>
        <v/>
      </c>
      <c r="F5" s="8">
        <f>'P&amp;L Annual'!F8</f>
        <v/>
      </c>
    </row>
    <row r="6">
      <c r="A6" s="4" t="inlineStr">
        <is>
          <t>Capex</t>
        </is>
      </c>
      <c r="B6" s="8">
        <f>-'Assumptions'!B2</f>
        <v/>
      </c>
      <c r="C6" s="8">
        <f>-250000000</f>
        <v/>
      </c>
      <c r="D6" s="8">
        <f>-300000000</f>
        <v/>
      </c>
      <c r="E6" s="8">
        <f>-350000000</f>
        <v/>
      </c>
      <c r="F6" s="8">
        <f>-400000000</f>
        <v/>
      </c>
    </row>
    <row r="7">
      <c r="A7" s="4" t="inlineStr">
        <is>
          <t>Financing Cash Flow</t>
        </is>
      </c>
      <c r="B7" s="6" t="n">
        <v>0</v>
      </c>
      <c r="C7" s="6" t="n">
        <v>0</v>
      </c>
      <c r="D7" s="6" t="n">
        <v>0</v>
      </c>
      <c r="E7" s="6" t="n">
        <v>0</v>
      </c>
      <c r="F7" s="6" t="n">
        <v>0</v>
      </c>
    </row>
    <row r="8">
      <c r="A8" s="4" t="inlineStr">
        <is>
          <t>Ending Cash</t>
        </is>
      </c>
      <c r="B8" s="8">
        <f>SUM(B2:B4)</f>
        <v/>
      </c>
      <c r="C8" s="8">
        <f>SUM(C2:C4)</f>
        <v/>
      </c>
      <c r="D8" s="8">
        <f>SUM(D2:D4)</f>
        <v/>
      </c>
      <c r="E8" s="8">
        <f>SUM(E2:E4)</f>
        <v/>
      </c>
      <c r="F8" s="8">
        <f>SUM(F2:F4)</f>
        <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C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Working Capital</t>
        </is>
      </c>
      <c r="B1" s="2" t="n"/>
      <c r="C1" s="2" t="n"/>
    </row>
    <row r="2">
      <c r="A2" s="3" t="inlineStr">
        <is>
          <t>6 months</t>
        </is>
      </c>
      <c r="B2" s="7">
        <f>'Assumptions'!B3*6</f>
        <v/>
      </c>
      <c r="C2" s="7">
        <f>B2</f>
        <v/>
      </c>
    </row>
    <row r="3">
      <c r="A3" s="4" t="inlineStr">
        <is>
          <t>12 months</t>
        </is>
      </c>
      <c r="B3" s="8">
        <f>'Assumptions'!B3*12</f>
        <v/>
      </c>
      <c r="C3" s="8">
        <f>B3</f>
        <v/>
      </c>
    </row>
    <row r="4">
      <c r="A4" s="4" t="inlineStr">
        <is>
          <t>18 months</t>
        </is>
      </c>
      <c r="B4" s="8">
        <f>'Assumptions'!B3*18</f>
        <v/>
      </c>
      <c r="C4" s="8">
        <f>B4</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Break-Even</t>
        </is>
      </c>
      <c r="B1" s="2" t="n"/>
      <c r="C1" s="2" t="n"/>
    </row>
    <row r="2">
      <c r="A2" s="3" t="inlineStr">
        <is>
          <t>PT TAPGO LION INDONESIA | TapGo Master Blueprint 2026-2035</t>
        </is>
      </c>
      <c r="B2" s="2" t="n"/>
      <c r="C2" s="2" t="n"/>
    </row>
    <row r="3">
      <c r="A3" s="4" t="inlineStr">
        <is>
          <t>Metric</t>
        </is>
      </c>
      <c r="B3" s="4" t="inlineStr">
        <is>
          <t>Formula</t>
        </is>
      </c>
      <c r="C3" s="4" t="inlineStr">
        <is>
          <t>Base Result</t>
        </is>
      </c>
    </row>
    <row r="4">
      <c r="A4" s="4" t="inlineStr">
        <is>
          <t>Annual Fixed Cost</t>
        </is>
      </c>
      <c r="B4" s="8">
        <f>'Fixed Cost'!B2</f>
        <v/>
      </c>
      <c r="C4" s="8">
        <f>B2</f>
        <v/>
      </c>
    </row>
    <row r="5">
      <c r="A5" s="4" t="inlineStr">
        <is>
          <t>Avg Contribution per Paid Member</t>
        </is>
      </c>
      <c r="B5" s="8">
        <f>'Membership Economics'!K2</f>
        <v/>
      </c>
      <c r="C5" s="8">
        <f>B3</f>
        <v/>
      </c>
    </row>
    <row r="6">
      <c r="A6" s="4" t="inlineStr">
        <is>
          <t>Break-Even Paid Members</t>
        </is>
      </c>
      <c r="B6" s="8">
        <f>ROUNDUP(B2/B3,0)</f>
        <v/>
      </c>
      <c r="C6" s="8">
        <f>B4</f>
        <v/>
      </c>
    </row>
    <row r="7">
      <c r="A7" s="4" t="inlineStr">
        <is>
          <t>Estimated Break-Even Year</t>
        </is>
      </c>
      <c r="B7" s="5" t="inlineStr">
        <is>
          <t>2029 if EBITDA turns positive in base scenario</t>
        </is>
      </c>
      <c r="C7" s="5" t="inlineStr">
        <is>
          <t>2029</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Unit Economics</t>
        </is>
      </c>
      <c r="B1" s="2" t="n"/>
      <c r="C1" s="2" t="n"/>
    </row>
    <row r="2">
      <c r="A2" s="3" t="inlineStr">
        <is>
          <t>PT TAPGO LION INDONESIA | TapGo Master Blueprint 2026-2035</t>
        </is>
      </c>
      <c r="B2" s="2" t="n"/>
      <c r="C2" s="2" t="n"/>
    </row>
    <row r="3">
      <c r="A3" s="4" t="inlineStr">
        <is>
          <t>Metric</t>
        </is>
      </c>
      <c r="B3" s="4" t="inlineStr">
        <is>
          <t>Formula / Assumption</t>
        </is>
      </c>
      <c r="C3" s="4" t="inlineStr">
        <is>
          <t>Base</t>
        </is>
      </c>
    </row>
    <row r="4">
      <c r="A4" s="4" t="inlineStr">
        <is>
          <t>CAC</t>
        </is>
      </c>
      <c r="B4" s="8">
        <f>'Assumptions'!B20</f>
        <v/>
      </c>
      <c r="C4" s="8">
        <f>'Assumptions'!B20</f>
        <v/>
      </c>
    </row>
    <row r="5">
      <c r="A5" s="4" t="inlineStr">
        <is>
          <t>ARPU Monthly</t>
        </is>
      </c>
      <c r="B5" s="8">
        <f>'Assumptions'!B21</f>
        <v/>
      </c>
      <c r="C5" s="8">
        <f>'Assumptions'!B21</f>
        <v/>
      </c>
    </row>
    <row r="6">
      <c r="A6" s="4" t="inlineStr">
        <is>
          <t>Gross Margin</t>
        </is>
      </c>
      <c r="B6" s="8">
        <f>'P&amp;L Annual'!B4/'P&amp;L Annual'!B2</f>
        <v/>
      </c>
      <c r="C6" s="8">
        <f>'P&amp;L Annual'!B4/'P&amp;L Annual'!B2</f>
        <v/>
      </c>
    </row>
    <row r="7">
      <c r="A7" s="4" t="inlineStr">
        <is>
          <t>Payback Months</t>
        </is>
      </c>
      <c r="B7" s="8">
        <f>CAC/ARPU</f>
        <v/>
      </c>
      <c r="C7" s="8">
        <f>C2/C3</f>
        <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Funding</t>
        </is>
      </c>
      <c r="B1" s="2" t="n"/>
    </row>
    <row r="2">
      <c r="A2" s="3" t="inlineStr">
        <is>
          <t>PT TAPGO LION INDONESIA | TapGo Master Blueprint 2026-2035</t>
        </is>
      </c>
      <c r="B2" s="2" t="n"/>
    </row>
    <row r="3">
      <c r="A3" s="4" t="inlineStr">
        <is>
          <t>Use of Funds</t>
        </is>
      </c>
      <c r="B3" s="4" t="inlineStr">
        <is>
          <t>Amount</t>
        </is>
      </c>
    </row>
    <row r="4">
      <c r="A4" s="4" t="inlineStr">
        <is>
          <t>Product Development</t>
        </is>
      </c>
      <c r="B4" s="6" t="n">
        <v>350000000</v>
      </c>
    </row>
    <row r="5">
      <c r="A5" s="4" t="inlineStr">
        <is>
          <t>Infrastructure Setup</t>
        </is>
      </c>
      <c r="B5" s="6" t="n">
        <v>75000000</v>
      </c>
    </row>
    <row r="6">
      <c r="A6" s="4" t="inlineStr">
        <is>
          <t>Equipment</t>
        </is>
      </c>
      <c r="B6" s="6" t="n">
        <v>75000000</v>
      </c>
    </row>
    <row r="7">
      <c r="A7" s="4" t="inlineStr">
        <is>
          <t>Branding</t>
        </is>
      </c>
      <c r="B7" s="6" t="n">
        <v>30000000</v>
      </c>
    </row>
    <row r="8">
      <c r="A8" s="4" t="inlineStr">
        <is>
          <t>Legal &amp; Compliance</t>
        </is>
      </c>
      <c r="B8" s="6" t="n">
        <v>40000000</v>
      </c>
    </row>
    <row r="9">
      <c r="A9" s="4" t="inlineStr">
        <is>
          <t>Initial Marketing</t>
        </is>
      </c>
      <c r="B9" s="6" t="n">
        <v>100000000</v>
      </c>
    </row>
    <row r="10">
      <c r="A10" s="4" t="inlineStr">
        <is>
          <t>Office Setup</t>
        </is>
      </c>
      <c r="B10" s="6" t="n">
        <v>50000000</v>
      </c>
    </row>
    <row r="11">
      <c r="A11" s="4" t="inlineStr">
        <is>
          <t>Contingency</t>
        </is>
      </c>
      <c r="B11" s="6" t="n">
        <v>80000000</v>
      </c>
    </row>
    <row r="12">
      <c r="A12" s="4" t="inlineStr">
        <is>
          <t>12 Month Working Capital</t>
        </is>
      </c>
      <c r="B12" s="8">
        <f>'Working Capital'!C3</f>
        <v/>
      </c>
    </row>
    <row r="13">
      <c r="A13" s="4" t="inlineStr">
        <is>
          <t>Total Baseline Requirement</t>
        </is>
      </c>
      <c r="B13" s="8">
        <f>SUM(B2:B10)</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Valuation</t>
        </is>
      </c>
      <c r="B1" s="2" t="n"/>
      <c r="C1" s="2" t="n"/>
      <c r="D1" s="2" t="n"/>
      <c r="E1" s="2" t="n"/>
    </row>
    <row r="2">
      <c r="A2" s="3" t="inlineStr">
        <is>
          <t>PT TAPGO LION INDONESIA | TapGo Master Blueprint 2026-2035</t>
        </is>
      </c>
      <c r="B2" s="2" t="n"/>
      <c r="C2" s="2" t="n"/>
      <c r="D2" s="2" t="n"/>
      <c r="E2" s="2" t="n"/>
    </row>
    <row r="3">
      <c r="A3" s="4" t="inlineStr">
        <is>
          <t>Method</t>
        </is>
      </c>
      <c r="B3" s="4" t="inlineStr">
        <is>
          <t>Conservative</t>
        </is>
      </c>
      <c r="C3" s="4" t="inlineStr">
        <is>
          <t>Base</t>
        </is>
      </c>
      <c r="D3" s="4" t="inlineStr">
        <is>
          <t>Upside</t>
        </is>
      </c>
      <c r="E3" s="4" t="inlineStr">
        <is>
          <t>Disclaimer</t>
        </is>
      </c>
    </row>
    <row r="4">
      <c r="A4" s="4" t="inlineStr">
        <is>
          <t>Revenue Multiple</t>
        </is>
      </c>
      <c r="B4" s="8">
        <f>'Revenue Build'!D6*1.0</f>
        <v/>
      </c>
      <c r="C4" s="8">
        <f>'Revenue Build'!D6*1.8</f>
        <v/>
      </c>
      <c r="D4" s="8">
        <f>'Revenue Build'!D6*3.0</f>
        <v/>
      </c>
      <c r="E4" s="5" t="inlineStr">
        <is>
          <t>Illustrative only</t>
        </is>
      </c>
    </row>
    <row r="5">
      <c r="A5" s="4" t="inlineStr">
        <is>
          <t>EBITDA Multiple</t>
        </is>
      </c>
      <c r="B5" s="8">
        <f>MAX(0,'P&amp;L Annual'!D6*5)</f>
        <v/>
      </c>
      <c r="C5" s="8">
        <f>MAX(0,'P&amp;L Annual'!E6*7)</f>
        <v/>
      </c>
      <c r="D5" s="8">
        <f>MAX(0,'P&amp;L Annual'!F6*9)</f>
        <v/>
      </c>
      <c r="E5" s="5" t="inlineStr">
        <is>
          <t>Not appraisal</t>
        </is>
      </c>
    </row>
    <row r="6">
      <c r="A6" s="4" t="inlineStr">
        <is>
          <t>VC Method</t>
        </is>
      </c>
      <c r="B6" s="6" t="n">
        <v>2000000000</v>
      </c>
      <c r="C6" s="6" t="n">
        <v>5000000000</v>
      </c>
      <c r="D6" s="6" t="n">
        <v>12000000000</v>
      </c>
      <c r="E6" s="5" t="inlineStr">
        <is>
          <t>Highly assumption sensitive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Sensitivity</t>
        </is>
      </c>
      <c r="B1" s="2" t="n"/>
      <c r="C1" s="2" t="n"/>
      <c r="D1" s="2" t="n"/>
    </row>
    <row r="2">
      <c r="A2" s="3" t="inlineStr">
        <is>
          <t>PT TAPGO LION INDONESIA | TapGo Master Blueprint 2026-2035</t>
        </is>
      </c>
      <c r="B2" s="2" t="n"/>
      <c r="C2" s="2" t="n"/>
      <c r="D2" s="2" t="n"/>
    </row>
    <row r="3">
      <c r="A3" s="4" t="inlineStr">
        <is>
          <t>Driver</t>
        </is>
      </c>
      <c r="B3" s="4" t="inlineStr">
        <is>
          <t>Low</t>
        </is>
      </c>
      <c r="C3" s="4" t="inlineStr">
        <is>
          <t>Base</t>
        </is>
      </c>
      <c r="D3" s="4" t="inlineStr">
        <is>
          <t>High</t>
        </is>
      </c>
    </row>
    <row r="4">
      <c r="A4" s="4" t="inlineStr">
        <is>
          <t>Bonus Payout</t>
        </is>
      </c>
      <c r="B4" s="6" t="n">
        <v>0.25</v>
      </c>
      <c r="C4" s="6" t="n">
        <v>0.4</v>
      </c>
      <c r="D4" s="6" t="n">
        <v>0.6</v>
      </c>
    </row>
    <row r="5">
      <c r="A5" s="4" t="inlineStr">
        <is>
          <t>CAC</t>
        </is>
      </c>
      <c r="B5" s="6" t="n">
        <v>45000</v>
      </c>
      <c r="C5" s="6" t="n">
        <v>65000</v>
      </c>
      <c r="D5" s="6" t="n">
        <v>95000</v>
      </c>
    </row>
    <row r="6">
      <c r="A6" s="4" t="inlineStr">
        <is>
          <t>Paid Conversion</t>
        </is>
      </c>
      <c r="B6" s="6" t="n">
        <v>0.12</v>
      </c>
      <c r="C6" s="6" t="n">
        <v>0.2</v>
      </c>
      <c r="D6" s="6" t="n">
        <v>0.28</v>
      </c>
    </row>
    <row r="7">
      <c r="A7" s="4" t="inlineStr">
        <is>
          <t>Fixed Cost Multiplier</t>
        </is>
      </c>
      <c r="B7" s="6" t="n">
        <v>0.85</v>
      </c>
      <c r="C7" s="6" t="n">
        <v>1</v>
      </c>
      <c r="D7" s="6" t="n">
        <v>1.25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8"/>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KPI Dashboard</t>
        </is>
      </c>
      <c r="B1" s="2" t="n"/>
      <c r="C1" s="2" t="n"/>
    </row>
    <row r="2">
      <c r="A2" s="3" t="inlineStr">
        <is>
          <t>PT TAPGO LION INDONESIA | TapGo Master Blueprint 2026-2035</t>
        </is>
      </c>
      <c r="B2" s="2" t="n"/>
      <c r="C2" s="2" t="n"/>
    </row>
    <row r="3">
      <c r="A3" s="4" t="inlineStr">
        <is>
          <t>KPI Category</t>
        </is>
      </c>
      <c r="B3" s="4" t="inlineStr">
        <is>
          <t>Metric</t>
        </is>
      </c>
      <c r="C3" s="4" t="inlineStr">
        <is>
          <t>Target Use</t>
        </is>
      </c>
    </row>
    <row r="4">
      <c r="A4" s="4" t="inlineStr">
        <is>
          <t>Member</t>
        </is>
      </c>
      <c r="B4" s="5" t="inlineStr">
        <is>
          <t>Registered / Active / Paid / Churn / Retention</t>
        </is>
      </c>
      <c r="C4" s="5" t="inlineStr">
        <is>
          <t>Growth quality</t>
        </is>
      </c>
    </row>
    <row r="5">
      <c r="A5" s="4" t="inlineStr">
        <is>
          <t>Merchant</t>
        </is>
      </c>
      <c r="B5" s="5" t="inlineStr">
        <is>
          <t>Registered / Active / GMV / Revenue</t>
        </is>
      </c>
      <c r="C5" s="5" t="inlineStr">
        <is>
          <t>Ecosystem scale</t>
        </is>
      </c>
    </row>
    <row r="6">
      <c r="A6" s="4" t="inlineStr">
        <is>
          <t>Payment</t>
        </is>
      </c>
      <c r="B6" s="5" t="inlineStr">
        <is>
          <t>Success rate / Webhook success / Refund / Chargeback</t>
        </is>
      </c>
      <c r="C6" s="5" t="inlineStr">
        <is>
          <t>Reliability</t>
        </is>
      </c>
    </row>
    <row r="7">
      <c r="A7" s="4" t="inlineStr">
        <is>
          <t>Finance</t>
        </is>
      </c>
      <c r="B7" s="5" t="inlineStr">
        <is>
          <t>Revenue / Gross margin / EBITDA / Burn / Runway</t>
        </is>
      </c>
      <c r="C7" s="5" t="inlineStr">
        <is>
          <t>Capital discipline</t>
        </is>
      </c>
    </row>
    <row r="8">
      <c r="A8" s="4" t="inlineStr">
        <is>
          <t>Operations</t>
        </is>
      </c>
      <c r="B8" s="5" t="inlineStr">
        <is>
          <t>Ticket SLA / NPS / Uptime / Fraud rate</t>
        </is>
      </c>
      <c r="C8" s="5" t="inlineStr">
        <is>
          <t>Service quality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Checks</t>
        </is>
      </c>
      <c r="B1" s="2" t="n"/>
      <c r="C1" s="2" t="n"/>
    </row>
    <row r="2">
      <c r="A2" s="3" t="inlineStr">
        <is>
          <t>PT TAPGO LION INDONESIA | TapGo Master Blueprint 2026-2035</t>
        </is>
      </c>
      <c r="B2" s="2" t="n"/>
      <c r="C2" s="2" t="n"/>
    </row>
    <row r="3">
      <c r="A3" s="4" t="inlineStr">
        <is>
          <t>Check</t>
        </is>
      </c>
      <c r="B3" s="4" t="inlineStr">
        <is>
          <t>Formula</t>
        </is>
      </c>
      <c r="C3" s="4" t="inlineStr">
        <is>
          <t>Status</t>
        </is>
      </c>
    </row>
    <row r="4">
      <c r="A4" s="4" t="inlineStr">
        <is>
          <t>Balance Sheet balances 2030</t>
        </is>
      </c>
      <c r="B4" s="8">
        <f>'Balance Sheet'!F7</f>
        <v/>
      </c>
      <c r="C4" s="8">
        <f>IF(ABS(B2)&lt;1,"PASS","FAIL")</f>
        <v/>
      </c>
    </row>
    <row r="5">
      <c r="A5" s="4" t="inlineStr">
        <is>
          <t>Ending cash is numeric</t>
        </is>
      </c>
      <c r="B5" s="8">
        <f>'Cash Flow'!F5</f>
        <v/>
      </c>
      <c r="C5" s="8">
        <f>IF(ISNUMBER(B3),"PASS","FAIL")</f>
        <v/>
      </c>
    </row>
    <row r="6">
      <c r="A6" s="4" t="inlineStr">
        <is>
          <t>Funding requirement positive</t>
        </is>
      </c>
      <c r="B6" s="8">
        <f>'Funding'!B11</f>
        <v/>
      </c>
      <c r="C6" s="8">
        <f>IF(B4&gt;0,"PASS","FAIL")</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2026-07-15T15:57:02Z</dcterms:created>
  <dcterms:modified xmlns:dcterms="http://purl.org/dc/terms/" xmlns:xsi="http://www.w3.org/2001/XMLSchema-instance" xsi:type="dcterms:W3CDTF">2026-07-15T15:57:02Z</dcterms:modified>
</cp:coreProperties>
</file>